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fpenfr-my.sharepoint.com/personal/javier_perez-pellitero_ifpen_fr/Documents/Bureau/"/>
    </mc:Choice>
  </mc:AlternateContent>
  <xr:revisionPtr revIDLastSave="76" documentId="13_ncr:1_{25E1E900-A40C-46ED-B659-F39F1801CCC6}" xr6:coauthVersionLast="47" xr6:coauthVersionMax="47" xr10:uidLastSave="{0089EDD9-2715-464D-A819-1922612E49A3}"/>
  <bookViews>
    <workbookView xWindow="-120" yWindow="-120" windowWidth="29040" windowHeight="17520" xr2:uid="{A2E238D6-3F37-41D8-8B9E-3240C5405AA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L8" i="1"/>
  <c r="K8" i="1"/>
  <c r="J8" i="1"/>
  <c r="I8" i="1"/>
  <c r="F8" i="1"/>
  <c r="G12" i="1"/>
  <c r="F12" i="1"/>
  <c r="G11" i="1"/>
  <c r="F11" i="1"/>
  <c r="G10" i="1"/>
  <c r="F10" i="1"/>
  <c r="G9" i="1"/>
  <c r="F9" i="1"/>
  <c r="C8" i="1"/>
  <c r="D8" i="1"/>
  <c r="L12" i="1" l="1"/>
  <c r="K12" i="1"/>
  <c r="L11" i="1"/>
  <c r="K11" i="1"/>
  <c r="L10" i="1"/>
  <c r="K10" i="1"/>
  <c r="L9" i="1"/>
  <c r="K9" i="1"/>
  <c r="J12" i="1"/>
  <c r="I12" i="1"/>
  <c r="J11" i="1"/>
  <c r="I11" i="1"/>
  <c r="J10" i="1"/>
  <c r="I10" i="1"/>
  <c r="J9" i="1"/>
  <c r="I9" i="1"/>
  <c r="C10" i="1"/>
  <c r="D10" i="1"/>
  <c r="C11" i="1"/>
  <c r="D11" i="1"/>
  <c r="C12" i="1"/>
  <c r="D12" i="1"/>
  <c r="D9" i="1"/>
  <c r="C9" i="1" l="1"/>
  <c r="A13" i="1" l="1"/>
  <c r="F13" i="1" l="1"/>
  <c r="G13" i="1"/>
  <c r="K13" i="1"/>
  <c r="L13" i="1"/>
  <c r="I13" i="1"/>
  <c r="J13" i="1"/>
  <c r="C13" i="1"/>
  <c r="D13" i="1"/>
  <c r="A14" i="1"/>
  <c r="G14" i="1" l="1"/>
  <c r="F14" i="1"/>
  <c r="K14" i="1"/>
  <c r="L14" i="1"/>
  <c r="J14" i="1"/>
  <c r="I14" i="1"/>
  <c r="C14" i="1"/>
  <c r="D14" i="1"/>
  <c r="A15" i="1"/>
  <c r="G15" i="1" l="1"/>
  <c r="F15" i="1"/>
  <c r="K15" i="1"/>
  <c r="L15" i="1"/>
  <c r="I15" i="1"/>
  <c r="J15" i="1"/>
  <c r="C15" i="1"/>
  <c r="D15" i="1"/>
  <c r="A16" i="1"/>
  <c r="F16" i="1" l="1"/>
  <c r="G16" i="1"/>
  <c r="L16" i="1"/>
  <c r="K16" i="1"/>
  <c r="J16" i="1"/>
  <c r="I16" i="1"/>
  <c r="C16" i="1"/>
  <c r="D16" i="1"/>
  <c r="A17" i="1"/>
  <c r="C17" i="1" l="1"/>
  <c r="G17" i="1"/>
  <c r="F17" i="1"/>
  <c r="L17" i="1"/>
  <c r="K17" i="1"/>
  <c r="J17" i="1"/>
  <c r="I17" i="1"/>
  <c r="D17" i="1"/>
  <c r="A18" i="1"/>
  <c r="F18" i="1" l="1"/>
  <c r="G18" i="1"/>
  <c r="K18" i="1"/>
  <c r="L18" i="1"/>
  <c r="J18" i="1"/>
  <c r="I18" i="1"/>
  <c r="C18" i="1"/>
  <c r="D18" i="1"/>
  <c r="A19" i="1"/>
  <c r="G19" i="1" l="1"/>
  <c r="F19" i="1"/>
  <c r="L19" i="1"/>
  <c r="K19" i="1"/>
  <c r="I19" i="1"/>
  <c r="J19" i="1"/>
  <c r="C19" i="1"/>
  <c r="D19" i="1"/>
  <c r="A20" i="1"/>
  <c r="G20" i="1" l="1"/>
  <c r="F20" i="1"/>
  <c r="L20" i="1"/>
  <c r="K20" i="1"/>
  <c r="I20" i="1"/>
  <c r="J20" i="1"/>
  <c r="C20" i="1"/>
  <c r="D20" i="1"/>
  <c r="A21" i="1"/>
  <c r="G21" i="1" l="1"/>
  <c r="F21" i="1"/>
  <c r="L21" i="1"/>
  <c r="K21" i="1"/>
  <c r="I21" i="1"/>
  <c r="J21" i="1"/>
  <c r="C21" i="1"/>
  <c r="D21" i="1"/>
  <c r="A22" i="1"/>
  <c r="G22" i="1" l="1"/>
  <c r="F22" i="1"/>
  <c r="L22" i="1"/>
  <c r="K22" i="1"/>
  <c r="J22" i="1"/>
  <c r="I22" i="1"/>
  <c r="C22" i="1"/>
  <c r="D22" i="1"/>
  <c r="A23" i="1"/>
  <c r="G23" i="1" l="1"/>
  <c r="F23" i="1"/>
  <c r="K23" i="1"/>
  <c r="L23" i="1"/>
  <c r="I23" i="1"/>
  <c r="J23" i="1"/>
  <c r="D23" i="1"/>
  <c r="C23" i="1"/>
  <c r="A24" i="1"/>
  <c r="G24" i="1" l="1"/>
  <c r="F24" i="1"/>
  <c r="L24" i="1"/>
  <c r="K24" i="1"/>
  <c r="J24" i="1"/>
  <c r="I24" i="1"/>
  <c r="C24" i="1"/>
  <c r="D24" i="1"/>
  <c r="A25" i="1"/>
  <c r="G25" i="1" l="1"/>
  <c r="F25" i="1"/>
  <c r="L25" i="1"/>
  <c r="K25" i="1"/>
  <c r="J25" i="1"/>
  <c r="I25" i="1"/>
  <c r="C25" i="1"/>
  <c r="D25" i="1"/>
  <c r="A26" i="1"/>
  <c r="G26" i="1" l="1"/>
  <c r="F26" i="1"/>
  <c r="L26" i="1"/>
  <c r="K26" i="1"/>
  <c r="I26" i="1"/>
  <c r="J26" i="1"/>
  <c r="C26" i="1"/>
  <c r="D26" i="1"/>
  <c r="A27" i="1"/>
  <c r="G27" i="1" l="1"/>
  <c r="F27" i="1"/>
  <c r="L27" i="1"/>
  <c r="K27" i="1"/>
  <c r="J27" i="1"/>
  <c r="I27" i="1"/>
  <c r="D27" i="1"/>
  <c r="C27" i="1"/>
  <c r="A28" i="1"/>
  <c r="G28" i="1" l="1"/>
  <c r="F28" i="1"/>
  <c r="K28" i="1"/>
  <c r="L28" i="1"/>
  <c r="J28" i="1"/>
  <c r="I28" i="1"/>
  <c r="D28" i="1"/>
  <c r="C28" i="1"/>
</calcChain>
</file>

<file path=xl/sharedStrings.xml><?xml version="1.0" encoding="utf-8"?>
<sst xmlns="http://schemas.openxmlformats.org/spreadsheetml/2006/main" count="4" uniqueCount="4">
  <si>
    <t>VMA</t>
  </si>
  <si>
    <t xml:space="preserve">
==&gt;</t>
  </si>
  <si>
    <t>2x
==&gt;</t>
  </si>
  <si>
    <t>12x
==&gt;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</si>
</sst>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DashDotDot">
        <color indexed="64"/>
      </right>
      <top style="medium">
        <color indexed="64"/>
      </top>
      <bottom/>
      <diagonal/>
    </border>
    <border>
      <left style="medium">
        <color indexed="64"/>
      </left>
      <right style="mediumDashDotDot">
        <color indexed="64"/>
      </right>
      <top/>
      <bottom/>
      <diagonal/>
    </border>
    <border>
      <left style="medium">
        <color indexed="64"/>
      </left>
      <right style="mediumDashDotDot">
        <color indexed="64"/>
      </right>
      <top/>
      <bottom style="medium">
        <color indexed="64"/>
      </bottom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Dot">
        <color indexed="64"/>
      </left>
      <right style="medium">
        <color indexed="64"/>
      </right>
      <top/>
      <bottom/>
      <diagonal/>
    </border>
    <border>
      <left style="mediumDashDotDot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164" fontId="1" fillId="4" borderId="7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45" fontId="4" fillId="4" borderId="10" xfId="0" applyNumberFormat="1" applyFont="1" applyFill="1" applyBorder="1" applyAlignment="1">
      <alignment horizontal="center"/>
    </xf>
    <xf numFmtId="45" fontId="4" fillId="0" borderId="11" xfId="0" applyNumberFormat="1" applyFont="1" applyBorder="1" applyAlignment="1">
      <alignment horizontal="center"/>
    </xf>
    <xf numFmtId="45" fontId="4" fillId="4" borderId="11" xfId="0" applyNumberFormat="1" applyFont="1" applyFill="1" applyBorder="1" applyAlignment="1">
      <alignment horizontal="center"/>
    </xf>
    <xf numFmtId="45" fontId="4" fillId="0" borderId="12" xfId="0" applyNumberFormat="1" applyFont="1" applyBorder="1" applyAlignment="1">
      <alignment horizontal="center"/>
    </xf>
    <xf numFmtId="45" fontId="4" fillId="4" borderId="13" xfId="0" applyNumberFormat="1" applyFont="1" applyFill="1" applyBorder="1" applyAlignment="1">
      <alignment horizontal="center"/>
    </xf>
    <xf numFmtId="45" fontId="4" fillId="0" borderId="14" xfId="0" applyNumberFormat="1" applyFont="1" applyBorder="1" applyAlignment="1">
      <alignment horizontal="center"/>
    </xf>
    <xf numFmtId="45" fontId="4" fillId="4" borderId="14" xfId="0" applyNumberFormat="1" applyFont="1" applyFill="1" applyBorder="1" applyAlignment="1">
      <alignment horizontal="center"/>
    </xf>
    <xf numFmtId="45" fontId="4" fillId="0" borderId="15" xfId="0" applyNumberFormat="1" applyFont="1" applyBorder="1" applyAlignment="1">
      <alignment horizontal="center"/>
    </xf>
    <xf numFmtId="0" fontId="3" fillId="2" borderId="1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5" fontId="4" fillId="4" borderId="0" xfId="0" applyNumberFormat="1" applyFont="1" applyFill="1" applyBorder="1" applyAlignment="1">
      <alignment horizontal="center"/>
    </xf>
    <xf numFmtId="45" fontId="4" fillId="0" borderId="0" xfId="0" applyNumberFormat="1" applyFont="1" applyBorder="1" applyAlignment="1">
      <alignment horizontal="center"/>
    </xf>
    <xf numFmtId="45" fontId="4" fillId="4" borderId="1" xfId="0" applyNumberFormat="1" applyFont="1" applyFill="1" applyBorder="1" applyAlignment="1">
      <alignment horizontal="center"/>
    </xf>
    <xf numFmtId="45" fontId="4" fillId="4" borderId="17" xfId="0" applyNumberFormat="1" applyFont="1" applyFill="1" applyBorder="1" applyAlignment="1">
      <alignment horizontal="center"/>
    </xf>
    <xf numFmtId="45" fontId="4" fillId="0" borderId="1" xfId="0" applyNumberFormat="1" applyFont="1" applyBorder="1" applyAlignment="1">
      <alignment horizontal="center"/>
    </xf>
    <xf numFmtId="45" fontId="4" fillId="0" borderId="17" xfId="0" applyNumberFormat="1" applyFont="1" applyBorder="1" applyAlignment="1">
      <alignment horizontal="center"/>
    </xf>
    <xf numFmtId="45" fontId="4" fillId="0" borderId="2" xfId="0" applyNumberFormat="1" applyFont="1" applyBorder="1" applyAlignment="1">
      <alignment horizontal="center"/>
    </xf>
    <xf numFmtId="45" fontId="4" fillId="0" borderId="5" xfId="0" applyNumberFormat="1" applyFont="1" applyBorder="1" applyAlignment="1">
      <alignment horizontal="center"/>
    </xf>
    <xf numFmtId="45" fontId="4" fillId="0" borderId="18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4E49-86FF-4DD4-A241-E8F280E955D9}">
  <sheetPr codeName="Feuil1"/>
  <dimension ref="A6:L28"/>
  <sheetViews>
    <sheetView tabSelected="1" zoomScale="85" zoomScaleNormal="85" workbookViewId="0">
      <selection activeCell="S9" sqref="S9"/>
    </sheetView>
  </sheetViews>
  <sheetFormatPr baseColWidth="10" defaultColWidth="10.85546875" defaultRowHeight="15" x14ac:dyDescent="0.25"/>
  <cols>
    <col min="1" max="1" width="7" bestFit="1" customWidth="1"/>
    <col min="2" max="2" width="5" customWidth="1"/>
    <col min="3" max="3" width="9.140625" customWidth="1"/>
    <col min="4" max="4" width="8.42578125" customWidth="1"/>
    <col min="5" max="5" width="5" customWidth="1"/>
    <col min="6" max="6" width="9.140625" customWidth="1"/>
    <col min="7" max="7" width="8.42578125" customWidth="1"/>
    <col min="8" max="8" width="5" customWidth="1"/>
    <col min="9" max="9" width="9.140625" customWidth="1"/>
    <col min="10" max="10" width="8.42578125" customWidth="1"/>
    <col min="11" max="11" width="9.140625" customWidth="1"/>
    <col min="12" max="12" width="8.42578125" customWidth="1"/>
  </cols>
  <sheetData>
    <row r="6" spans="1:12" x14ac:dyDescent="0.25">
      <c r="C6" s="1">
        <v>0.88</v>
      </c>
      <c r="D6" s="1">
        <v>0.96</v>
      </c>
      <c r="F6" s="1">
        <v>1.1000000000000001</v>
      </c>
      <c r="G6" s="1">
        <v>0.76</v>
      </c>
      <c r="I6" s="1">
        <v>1.04</v>
      </c>
      <c r="J6" s="1">
        <v>1.07</v>
      </c>
      <c r="K6" s="1">
        <v>1.1000000000000001</v>
      </c>
      <c r="L6" s="1">
        <v>1.1399999999999999</v>
      </c>
    </row>
    <row r="7" spans="1:12" ht="48" customHeight="1" thickBot="1" x14ac:dyDescent="0.3">
      <c r="C7" s="1">
        <v>800</v>
      </c>
      <c r="D7" s="1">
        <v>200</v>
      </c>
      <c r="F7" s="1">
        <v>100</v>
      </c>
      <c r="G7" s="1">
        <v>100</v>
      </c>
      <c r="I7" s="1">
        <v>200</v>
      </c>
      <c r="J7" s="1">
        <v>200</v>
      </c>
      <c r="K7" s="1">
        <v>200</v>
      </c>
      <c r="L7" s="1">
        <v>200</v>
      </c>
    </row>
    <row r="8" spans="1:12" ht="76.5" customHeight="1" thickBot="1" x14ac:dyDescent="0.3">
      <c r="A8" s="4" t="s">
        <v>0</v>
      </c>
      <c r="B8" s="11" t="s">
        <v>2</v>
      </c>
      <c r="C8" s="2" t="str">
        <f>"STEP 1 : "&amp;C7&amp;CHAR(10)&amp;"r = 0"""</f>
        <v>STEP 1 : 800
r = 0"</v>
      </c>
      <c r="D8" s="23" t="str">
        <f>"STEP 1bis : "&amp;D7&amp;CHAR(10)&amp;"r = 2'"</f>
        <v>STEP 1bis : 200
r = 2'</v>
      </c>
      <c r="E8" s="24" t="s">
        <v>3</v>
      </c>
      <c r="F8" s="2" t="str">
        <f>"STEP 2 : "&amp;F7&amp;CHAR(10)&amp;"r = 0"""</f>
        <v>STEP 2 : 100
r = 0"</v>
      </c>
      <c r="G8" s="23" t="str">
        <f>"STEP 2bis : "&amp;G7&amp;CHAR(10)&amp;"r = 3'"</f>
        <v>STEP 2bis : 100
r = 3'</v>
      </c>
      <c r="H8" s="24" t="s">
        <v>1</v>
      </c>
      <c r="I8" s="2" t="str">
        <f>"STEP 3 : "&amp;I7&amp;CHAR(10)&amp;"r = 15"""</f>
        <v>STEP 3 : 200
r = 15"</v>
      </c>
      <c r="J8" s="34" t="str">
        <f>"STEP 4 : "&amp;J7&amp;CHAR(10)&amp;"r = 30"""</f>
        <v>STEP 4 : 200
r = 30"</v>
      </c>
      <c r="K8" s="34" t="str">
        <f>"STEP 5 : "&amp;K7&amp;CHAR(10)&amp;"r = 45"""</f>
        <v>STEP 5 : 200
r = 45"</v>
      </c>
      <c r="L8" s="23" t="str">
        <f>"STEP 6 : "&amp;L7&amp;CHAR(10)</f>
        <v xml:space="preserve">STEP 6 : 200
</v>
      </c>
    </row>
    <row r="9" spans="1:12" ht="18.75" x14ac:dyDescent="0.3">
      <c r="A9" s="5">
        <v>12</v>
      </c>
      <c r="B9" s="12"/>
      <c r="C9" s="15">
        <f t="shared" ref="C9:L28" si="0">C$7/$A9/C$6*3.6/86400</f>
        <v>3.1565656565656569E-3</v>
      </c>
      <c r="D9" s="19">
        <f t="shared" si="0"/>
        <v>7.2337962962962981E-4</v>
      </c>
      <c r="E9" s="8"/>
      <c r="F9" s="15">
        <f t="shared" si="0"/>
        <v>3.1565656565656563E-4</v>
      </c>
      <c r="G9" s="19">
        <f t="shared" si="0"/>
        <v>4.5687134502923985E-4</v>
      </c>
      <c r="H9" s="8"/>
      <c r="I9" s="27">
        <f t="shared" si="0"/>
        <v>6.6773504273504275E-4</v>
      </c>
      <c r="J9" s="25">
        <f t="shared" si="0"/>
        <v>6.4901349948078924E-4</v>
      </c>
      <c r="K9" s="25">
        <f t="shared" si="0"/>
        <v>6.3131313131313126E-4</v>
      </c>
      <c r="L9" s="28">
        <f t="shared" si="0"/>
        <v>6.0916179337231976E-4</v>
      </c>
    </row>
    <row r="10" spans="1:12" ht="18.75" x14ac:dyDescent="0.3">
      <c r="A10" s="6">
        <v>13</v>
      </c>
      <c r="B10" s="13"/>
      <c r="C10" s="16">
        <f t="shared" si="0"/>
        <v>2.913752913752914E-3</v>
      </c>
      <c r="D10" s="20">
        <f t="shared" si="0"/>
        <v>6.6773504273504275E-4</v>
      </c>
      <c r="E10" s="9"/>
      <c r="F10" s="16">
        <f t="shared" si="0"/>
        <v>2.9137529137529138E-4</v>
      </c>
      <c r="G10" s="20">
        <f t="shared" si="0"/>
        <v>4.2172739541160596E-4</v>
      </c>
      <c r="H10" s="9"/>
      <c r="I10" s="29">
        <f t="shared" si="0"/>
        <v>6.1637080867850099E-4</v>
      </c>
      <c r="J10" s="26">
        <f t="shared" si="0"/>
        <v>5.9908938413611313E-4</v>
      </c>
      <c r="K10" s="26">
        <f t="shared" si="0"/>
        <v>5.8275058275058275E-4</v>
      </c>
      <c r="L10" s="30">
        <f t="shared" si="0"/>
        <v>5.6230319388214135E-4</v>
      </c>
    </row>
    <row r="11" spans="1:12" ht="18.75" x14ac:dyDescent="0.3">
      <c r="A11" s="3">
        <v>14</v>
      </c>
      <c r="B11" s="12"/>
      <c r="C11" s="17">
        <f t="shared" si="0"/>
        <v>2.705627705627706E-3</v>
      </c>
      <c r="D11" s="21">
        <f t="shared" si="0"/>
        <v>6.2003968253968272E-4</v>
      </c>
      <c r="E11" s="8"/>
      <c r="F11" s="17">
        <f t="shared" si="0"/>
        <v>2.7056277056277056E-4</v>
      </c>
      <c r="G11" s="21">
        <f t="shared" si="0"/>
        <v>3.9160401002506274E-4</v>
      </c>
      <c r="H11" s="8"/>
      <c r="I11" s="27">
        <f t="shared" si="0"/>
        <v>5.7234432234432237E-4</v>
      </c>
      <c r="J11" s="25">
        <f t="shared" si="0"/>
        <v>5.5629728526924787E-4</v>
      </c>
      <c r="K11" s="25">
        <f t="shared" si="0"/>
        <v>5.4112554112554113E-4</v>
      </c>
      <c r="L11" s="28">
        <f t="shared" si="0"/>
        <v>5.2213868003341695E-4</v>
      </c>
    </row>
    <row r="12" spans="1:12" ht="18.75" x14ac:dyDescent="0.3">
      <c r="A12" s="6">
        <v>15</v>
      </c>
      <c r="B12" s="13"/>
      <c r="C12" s="16">
        <f t="shared" si="0"/>
        <v>2.5252525252525255E-3</v>
      </c>
      <c r="D12" s="20">
        <f t="shared" si="0"/>
        <v>5.7870370370370367E-4</v>
      </c>
      <c r="E12" s="9"/>
      <c r="F12" s="16">
        <f t="shared" si="0"/>
        <v>2.5252525252525253E-4</v>
      </c>
      <c r="G12" s="20">
        <f t="shared" si="0"/>
        <v>3.6549707602339185E-4</v>
      </c>
      <c r="H12" s="9"/>
      <c r="I12" s="29">
        <f t="shared" si="0"/>
        <v>5.3418803418803424E-4</v>
      </c>
      <c r="J12" s="26">
        <f t="shared" si="0"/>
        <v>5.1921079958463135E-4</v>
      </c>
      <c r="K12" s="26">
        <f t="shared" si="0"/>
        <v>5.0505050505050505E-4</v>
      </c>
      <c r="L12" s="30">
        <f t="shared" si="0"/>
        <v>4.8732943469785589E-4</v>
      </c>
    </row>
    <row r="13" spans="1:12" ht="18.75" x14ac:dyDescent="0.3">
      <c r="A13" s="3">
        <f>A12+0.5</f>
        <v>15.5</v>
      </c>
      <c r="B13" s="12"/>
      <c r="C13" s="17">
        <f t="shared" si="0"/>
        <v>2.4437927663734115E-3</v>
      </c>
      <c r="D13" s="21">
        <f t="shared" si="0"/>
        <v>5.6003584229390689E-4</v>
      </c>
      <c r="E13" s="8"/>
      <c r="F13" s="17">
        <f t="shared" si="0"/>
        <v>2.4437927663734115E-4</v>
      </c>
      <c r="G13" s="21">
        <f t="shared" si="0"/>
        <v>3.537068477645727E-4</v>
      </c>
      <c r="H13" s="8"/>
      <c r="I13" s="27">
        <f t="shared" si="0"/>
        <v>5.1695616211745244E-4</v>
      </c>
      <c r="J13" s="25">
        <f t="shared" si="0"/>
        <v>5.0246206411415936E-4</v>
      </c>
      <c r="K13" s="25">
        <f t="shared" si="0"/>
        <v>4.8875855327468231E-4</v>
      </c>
      <c r="L13" s="28">
        <f t="shared" si="0"/>
        <v>4.7160913035276363E-4</v>
      </c>
    </row>
    <row r="14" spans="1:12" ht="18.75" x14ac:dyDescent="0.3">
      <c r="A14" s="6">
        <f t="shared" ref="A14:A28" si="1">A13+0.5</f>
        <v>16</v>
      </c>
      <c r="B14" s="13"/>
      <c r="C14" s="16">
        <f t="shared" si="0"/>
        <v>2.3674242424242425E-3</v>
      </c>
      <c r="D14" s="20">
        <f t="shared" si="0"/>
        <v>5.4253472222222225E-4</v>
      </c>
      <c r="E14" s="9"/>
      <c r="F14" s="16">
        <f t="shared" si="0"/>
        <v>2.3674242424242422E-4</v>
      </c>
      <c r="G14" s="20">
        <f t="shared" si="0"/>
        <v>3.4265350877192981E-4</v>
      </c>
      <c r="H14" s="9"/>
      <c r="I14" s="29">
        <f t="shared" si="0"/>
        <v>5.0080128205128201E-4</v>
      </c>
      <c r="J14" s="26">
        <f t="shared" si="0"/>
        <v>4.867601246105919E-4</v>
      </c>
      <c r="K14" s="26">
        <f t="shared" si="0"/>
        <v>4.7348484848484844E-4</v>
      </c>
      <c r="L14" s="30">
        <f t="shared" si="0"/>
        <v>4.5687134502923985E-4</v>
      </c>
    </row>
    <row r="15" spans="1:12" ht="18.75" x14ac:dyDescent="0.3">
      <c r="A15" s="3">
        <f t="shared" si="1"/>
        <v>16.5</v>
      </c>
      <c r="B15" s="12"/>
      <c r="C15" s="17">
        <f t="shared" si="0"/>
        <v>2.295684113865932E-3</v>
      </c>
      <c r="D15" s="21">
        <f t="shared" si="0"/>
        <v>5.2609427609427608E-4</v>
      </c>
      <c r="E15" s="8"/>
      <c r="F15" s="17">
        <f t="shared" si="0"/>
        <v>2.2956841138659318E-4</v>
      </c>
      <c r="G15" s="21">
        <f t="shared" si="0"/>
        <v>3.3227006911217439E-4</v>
      </c>
      <c r="H15" s="8"/>
      <c r="I15" s="27">
        <f t="shared" si="0"/>
        <v>4.8562548562548557E-4</v>
      </c>
      <c r="J15" s="25">
        <f t="shared" si="0"/>
        <v>4.7200981780421032E-4</v>
      </c>
      <c r="K15" s="25">
        <f t="shared" si="0"/>
        <v>4.5913682277318635E-4</v>
      </c>
      <c r="L15" s="28">
        <f t="shared" si="0"/>
        <v>4.4302675881623252E-4</v>
      </c>
    </row>
    <row r="16" spans="1:12" ht="18.75" x14ac:dyDescent="0.3">
      <c r="A16" s="6">
        <f t="shared" si="1"/>
        <v>17</v>
      </c>
      <c r="B16" s="13"/>
      <c r="C16" s="16">
        <f>C$7/$A16/C$6*3.6/86400</f>
        <v>2.2281639928698753E-3</v>
      </c>
      <c r="D16" s="20">
        <f t="shared" si="0"/>
        <v>5.1062091503267977E-4</v>
      </c>
      <c r="E16" s="9"/>
      <c r="F16" s="16">
        <f>F$7/$A16/F$6*3.6/86400</f>
        <v>2.2281639928698754E-4</v>
      </c>
      <c r="G16" s="20">
        <f t="shared" si="0"/>
        <v>3.2249742002063984E-4</v>
      </c>
      <c r="H16" s="9"/>
      <c r="I16" s="29">
        <f>I$7/$A16/I$6*3.6/86400</f>
        <v>4.7134238310708905E-4</v>
      </c>
      <c r="J16" s="26">
        <f t="shared" si="0"/>
        <v>4.5812717610408657E-4</v>
      </c>
      <c r="K16" s="26">
        <f>K$7/$A16/K$6*3.6/86400</f>
        <v>4.4563279857397507E-4</v>
      </c>
      <c r="L16" s="30">
        <f t="shared" si="0"/>
        <v>4.2999656002751984E-4</v>
      </c>
    </row>
    <row r="17" spans="1:12" ht="18.75" x14ac:dyDescent="0.3">
      <c r="A17" s="3">
        <f t="shared" si="1"/>
        <v>17.5</v>
      </c>
      <c r="B17" s="12"/>
      <c r="C17" s="17">
        <f>C$7/$A17/C$6*3.6/86400</f>
        <v>2.1645021645021645E-3</v>
      </c>
      <c r="D17" s="21">
        <f t="shared" si="0"/>
        <v>4.9603174603174611E-4</v>
      </c>
      <c r="E17" s="8"/>
      <c r="F17" s="17">
        <f>F$7/$A17/F$6*3.6/86400</f>
        <v>2.1645021645021645E-4</v>
      </c>
      <c r="G17" s="21">
        <f t="shared" si="0"/>
        <v>3.1328320802005011E-4</v>
      </c>
      <c r="H17" s="8"/>
      <c r="I17" s="27">
        <f t="shared" si="0"/>
        <v>4.5787545787545788E-4</v>
      </c>
      <c r="J17" s="25">
        <f t="shared" si="0"/>
        <v>4.450378282153983E-4</v>
      </c>
      <c r="K17" s="25">
        <f t="shared" si="0"/>
        <v>4.329004329004329E-4</v>
      </c>
      <c r="L17" s="28">
        <f t="shared" si="0"/>
        <v>4.1771094402673359E-4</v>
      </c>
    </row>
    <row r="18" spans="1:12" ht="18.75" x14ac:dyDescent="0.3">
      <c r="A18" s="6">
        <f t="shared" si="1"/>
        <v>18</v>
      </c>
      <c r="B18" s="13"/>
      <c r="C18" s="16">
        <f t="shared" si="0"/>
        <v>2.1043771043771043E-3</v>
      </c>
      <c r="D18" s="20">
        <f t="shared" si="0"/>
        <v>4.8225308641975317E-4</v>
      </c>
      <c r="E18" s="9"/>
      <c r="F18" s="16">
        <f t="shared" si="0"/>
        <v>2.1043771043771043E-4</v>
      </c>
      <c r="G18" s="20">
        <f t="shared" si="0"/>
        <v>3.0458089668615988E-4</v>
      </c>
      <c r="H18" s="9"/>
      <c r="I18" s="29">
        <f t="shared" si="0"/>
        <v>4.4515669515669511E-4</v>
      </c>
      <c r="J18" s="26">
        <f t="shared" si="0"/>
        <v>4.3267566632052609E-4</v>
      </c>
      <c r="K18" s="26">
        <f t="shared" si="0"/>
        <v>4.2087542087542086E-4</v>
      </c>
      <c r="L18" s="30">
        <f t="shared" si="0"/>
        <v>4.0610786224821316E-4</v>
      </c>
    </row>
    <row r="19" spans="1:12" ht="18.75" x14ac:dyDescent="0.3">
      <c r="A19" s="3">
        <f t="shared" si="1"/>
        <v>18.5</v>
      </c>
      <c r="B19" s="12"/>
      <c r="C19" s="17">
        <f t="shared" si="0"/>
        <v>2.0475020475020475E-3</v>
      </c>
      <c r="D19" s="21">
        <f t="shared" si="0"/>
        <v>4.6921921921921922E-4</v>
      </c>
      <c r="E19" s="8"/>
      <c r="F19" s="17">
        <f t="shared" si="0"/>
        <v>2.0475020475020474E-4</v>
      </c>
      <c r="G19" s="21">
        <f t="shared" si="0"/>
        <v>2.9634898055950684E-4</v>
      </c>
      <c r="H19" s="8"/>
      <c r="I19" s="27">
        <f t="shared" si="0"/>
        <v>4.3312543312543317E-4</v>
      </c>
      <c r="J19" s="25">
        <f t="shared" si="0"/>
        <v>4.2098172939294433E-4</v>
      </c>
      <c r="K19" s="25">
        <f t="shared" si="0"/>
        <v>4.0950040950040947E-4</v>
      </c>
      <c r="L19" s="28">
        <f t="shared" si="0"/>
        <v>3.9513197407934253E-4</v>
      </c>
    </row>
    <row r="20" spans="1:12" ht="18.75" x14ac:dyDescent="0.3">
      <c r="A20" s="6">
        <f t="shared" si="1"/>
        <v>19</v>
      </c>
      <c r="B20" s="13"/>
      <c r="C20" s="16">
        <f t="shared" si="0"/>
        <v>1.9936204146730465E-3</v>
      </c>
      <c r="D20" s="20">
        <f t="shared" si="0"/>
        <v>4.5687134502923985E-4</v>
      </c>
      <c r="E20" s="9"/>
      <c r="F20" s="16">
        <f t="shared" si="0"/>
        <v>1.9936204146730463E-4</v>
      </c>
      <c r="G20" s="20">
        <f t="shared" si="0"/>
        <v>2.8855032317636197E-4</v>
      </c>
      <c r="H20" s="9"/>
      <c r="I20" s="29">
        <f t="shared" si="0"/>
        <v>4.2172739541160596E-4</v>
      </c>
      <c r="J20" s="26">
        <f t="shared" si="0"/>
        <v>4.0990326282997212E-4</v>
      </c>
      <c r="K20" s="26">
        <f t="shared" si="0"/>
        <v>3.9872408293460925E-4</v>
      </c>
      <c r="L20" s="30">
        <f t="shared" si="0"/>
        <v>3.8473376423514929E-4</v>
      </c>
    </row>
    <row r="21" spans="1:12" ht="18.75" x14ac:dyDescent="0.3">
      <c r="A21" s="3">
        <f t="shared" si="1"/>
        <v>19.5</v>
      </c>
      <c r="B21" s="12"/>
      <c r="C21" s="17">
        <f t="shared" si="0"/>
        <v>1.9425019425019425E-3</v>
      </c>
      <c r="D21" s="21">
        <f t="shared" si="0"/>
        <v>4.4515669515669522E-4</v>
      </c>
      <c r="E21" s="8"/>
      <c r="F21" s="17">
        <f t="shared" si="0"/>
        <v>1.9425019425019425E-4</v>
      </c>
      <c r="G21" s="21">
        <f t="shared" si="0"/>
        <v>2.8115159694107068E-4</v>
      </c>
      <c r="H21" s="8"/>
      <c r="I21" s="27">
        <f t="shared" si="0"/>
        <v>4.1091387245233401E-4</v>
      </c>
      <c r="J21" s="25">
        <f t="shared" si="0"/>
        <v>3.9939292275740872E-4</v>
      </c>
      <c r="K21" s="25">
        <f t="shared" si="0"/>
        <v>3.885003885003885E-4</v>
      </c>
      <c r="L21" s="28">
        <f t="shared" si="0"/>
        <v>3.748687959214276E-4</v>
      </c>
    </row>
    <row r="22" spans="1:12" ht="18.75" x14ac:dyDescent="0.3">
      <c r="A22" s="6">
        <f t="shared" si="1"/>
        <v>20</v>
      </c>
      <c r="B22" s="13"/>
      <c r="C22" s="16">
        <f t="shared" si="0"/>
        <v>1.8939393939393938E-3</v>
      </c>
      <c r="D22" s="20">
        <f t="shared" si="0"/>
        <v>4.3402777777777786E-4</v>
      </c>
      <c r="E22" s="9"/>
      <c r="F22" s="16">
        <f t="shared" si="0"/>
        <v>1.8939393939393939E-4</v>
      </c>
      <c r="G22" s="20">
        <f t="shared" si="0"/>
        <v>2.7412280701754384E-4</v>
      </c>
      <c r="H22" s="9"/>
      <c r="I22" s="29">
        <f t="shared" si="0"/>
        <v>4.0064102564102563E-4</v>
      </c>
      <c r="J22" s="26">
        <f t="shared" si="0"/>
        <v>3.8940809968847351E-4</v>
      </c>
      <c r="K22" s="26">
        <f t="shared" si="0"/>
        <v>3.7878787878787879E-4</v>
      </c>
      <c r="L22" s="30">
        <f t="shared" si="0"/>
        <v>3.6549707602339185E-4</v>
      </c>
    </row>
    <row r="23" spans="1:12" ht="18.75" x14ac:dyDescent="0.3">
      <c r="A23" s="3">
        <f t="shared" si="1"/>
        <v>20.5</v>
      </c>
      <c r="B23" s="12"/>
      <c r="C23" s="17">
        <f t="shared" si="0"/>
        <v>1.8477457501847748E-3</v>
      </c>
      <c r="D23" s="21">
        <f t="shared" si="0"/>
        <v>4.234417344173442E-4</v>
      </c>
      <c r="E23" s="8"/>
      <c r="F23" s="17">
        <f t="shared" si="0"/>
        <v>1.8477457501847746E-4</v>
      </c>
      <c r="G23" s="21">
        <f t="shared" si="0"/>
        <v>2.6743688489516476E-4</v>
      </c>
      <c r="H23" s="8"/>
      <c r="I23" s="27">
        <f t="shared" si="0"/>
        <v>3.9086929330831775E-4</v>
      </c>
      <c r="J23" s="25">
        <f t="shared" si="0"/>
        <v>3.7991034115948636E-4</v>
      </c>
      <c r="K23" s="25">
        <f t="shared" si="0"/>
        <v>3.6954915003695491E-4</v>
      </c>
      <c r="L23" s="28">
        <f t="shared" si="0"/>
        <v>3.5658251319355301E-4</v>
      </c>
    </row>
    <row r="24" spans="1:12" ht="18.75" x14ac:dyDescent="0.3">
      <c r="A24" s="6">
        <f t="shared" si="1"/>
        <v>21</v>
      </c>
      <c r="B24" s="13"/>
      <c r="C24" s="16">
        <f t="shared" si="0"/>
        <v>1.8037518037518038E-3</v>
      </c>
      <c r="D24" s="20">
        <f t="shared" si="0"/>
        <v>4.1335978835978839E-4</v>
      </c>
      <c r="E24" s="9"/>
      <c r="F24" s="16">
        <f t="shared" si="0"/>
        <v>1.8037518037518038E-4</v>
      </c>
      <c r="G24" s="20">
        <f t="shared" si="0"/>
        <v>2.6106934001670842E-4</v>
      </c>
      <c r="H24" s="9"/>
      <c r="I24" s="29">
        <f t="shared" si="0"/>
        <v>3.8156288156288151E-4</v>
      </c>
      <c r="J24" s="26">
        <f t="shared" si="0"/>
        <v>3.7086485684616525E-4</v>
      </c>
      <c r="K24" s="26">
        <f t="shared" si="0"/>
        <v>3.6075036075036075E-4</v>
      </c>
      <c r="L24" s="30">
        <f t="shared" si="0"/>
        <v>3.4809245335561129E-4</v>
      </c>
    </row>
    <row r="25" spans="1:12" ht="18.75" x14ac:dyDescent="0.3">
      <c r="A25" s="3">
        <f t="shared" si="1"/>
        <v>21.5</v>
      </c>
      <c r="B25" s="12"/>
      <c r="C25" s="17">
        <f t="shared" si="0"/>
        <v>1.7618040873854828E-3</v>
      </c>
      <c r="D25" s="21">
        <f t="shared" si="0"/>
        <v>4.0374677002583988E-4</v>
      </c>
      <c r="E25" s="8"/>
      <c r="F25" s="17">
        <f t="shared" si="0"/>
        <v>1.7618040873854828E-4</v>
      </c>
      <c r="G25" s="21">
        <f t="shared" si="0"/>
        <v>2.5499796001631988E-4</v>
      </c>
      <c r="H25" s="8"/>
      <c r="I25" s="27">
        <f t="shared" si="0"/>
        <v>3.7268932617769829E-4</v>
      </c>
      <c r="J25" s="25">
        <f t="shared" si="0"/>
        <v>3.6224009273346376E-4</v>
      </c>
      <c r="K25" s="25">
        <f t="shared" si="0"/>
        <v>3.5236081747709656E-4</v>
      </c>
      <c r="L25" s="28">
        <f t="shared" si="0"/>
        <v>3.3999728002175988E-4</v>
      </c>
    </row>
    <row r="26" spans="1:12" ht="18.75" x14ac:dyDescent="0.3">
      <c r="A26" s="6">
        <f t="shared" si="1"/>
        <v>22</v>
      </c>
      <c r="B26" s="13"/>
      <c r="C26" s="16">
        <f t="shared" si="0"/>
        <v>1.7217630853994493E-3</v>
      </c>
      <c r="D26" s="20">
        <f t="shared" si="0"/>
        <v>3.9457070707070712E-4</v>
      </c>
      <c r="E26" s="9"/>
      <c r="F26" s="16">
        <f t="shared" si="0"/>
        <v>1.7217630853994494E-4</v>
      </c>
      <c r="G26" s="20">
        <f t="shared" si="0"/>
        <v>2.4920255183413082E-4</v>
      </c>
      <c r="H26" s="9"/>
      <c r="I26" s="29">
        <f t="shared" si="0"/>
        <v>3.6421911421911425E-4</v>
      </c>
      <c r="J26" s="26">
        <f t="shared" si="0"/>
        <v>3.5400736335315772E-4</v>
      </c>
      <c r="K26" s="26">
        <f t="shared" si="0"/>
        <v>3.4435261707988987E-4</v>
      </c>
      <c r="L26" s="30">
        <f t="shared" si="0"/>
        <v>3.3227006911217444E-4</v>
      </c>
    </row>
    <row r="27" spans="1:12" ht="18.75" x14ac:dyDescent="0.3">
      <c r="A27" s="3">
        <f t="shared" si="1"/>
        <v>22.5</v>
      </c>
      <c r="B27" s="12"/>
      <c r="C27" s="17">
        <f t="shared" si="0"/>
        <v>1.6835016835016836E-3</v>
      </c>
      <c r="D27" s="21">
        <f t="shared" si="0"/>
        <v>3.858024691358025E-4</v>
      </c>
      <c r="E27" s="8"/>
      <c r="F27" s="17">
        <f t="shared" si="0"/>
        <v>1.6835016835016836E-4</v>
      </c>
      <c r="G27" s="21">
        <f t="shared" si="0"/>
        <v>2.4366471734892789E-4</v>
      </c>
      <c r="H27" s="8"/>
      <c r="I27" s="27">
        <f t="shared" si="0"/>
        <v>3.5612535612535614E-4</v>
      </c>
      <c r="J27" s="25">
        <f t="shared" si="0"/>
        <v>3.4614053305642088E-4</v>
      </c>
      <c r="K27" s="25">
        <f t="shared" si="0"/>
        <v>3.3670033670033672E-4</v>
      </c>
      <c r="L27" s="28">
        <f t="shared" si="0"/>
        <v>3.2488628979857059E-4</v>
      </c>
    </row>
    <row r="28" spans="1:12" ht="19.5" thickBot="1" x14ac:dyDescent="0.35">
      <c r="A28" s="7">
        <f t="shared" si="1"/>
        <v>23</v>
      </c>
      <c r="B28" s="14"/>
      <c r="C28" s="18">
        <f t="shared" si="0"/>
        <v>1.6469038208168643E-3</v>
      </c>
      <c r="D28" s="22">
        <f t="shared" si="0"/>
        <v>3.7741545893719806E-4</v>
      </c>
      <c r="E28" s="10"/>
      <c r="F28" s="18">
        <f t="shared" si="0"/>
        <v>1.6469038208168641E-4</v>
      </c>
      <c r="G28" s="22">
        <f t="shared" si="0"/>
        <v>2.3836765827612509E-4</v>
      </c>
      <c r="H28" s="10"/>
      <c r="I28" s="31">
        <f t="shared" si="0"/>
        <v>3.4838350055741357E-4</v>
      </c>
      <c r="J28" s="32">
        <f t="shared" si="0"/>
        <v>3.3861573885954219E-4</v>
      </c>
      <c r="K28" s="32">
        <f t="shared" si="0"/>
        <v>3.2938076416337282E-4</v>
      </c>
      <c r="L28" s="33">
        <f t="shared" si="0"/>
        <v>3.1782354436816682E-4</v>
      </c>
    </row>
  </sheetData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PELLITERO Javier</dc:creator>
  <cp:lastModifiedBy>PEREZ PELLITERO Javier</cp:lastModifiedBy>
  <cp:lastPrinted>2025-11-13T12:59:02Z</cp:lastPrinted>
  <dcterms:created xsi:type="dcterms:W3CDTF">2022-11-10T15:49:23Z</dcterms:created>
  <dcterms:modified xsi:type="dcterms:W3CDTF">2025-11-27T14:28:41Z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2025-10-28T13:36:08Z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eb94467f-cabb-417b-8db0-2ab9ab76507a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